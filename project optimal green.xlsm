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HKUST\spring sem\CIEM 5630 Traffic Control Fundamentals and Practice\Project\vision\"/>
    </mc:Choice>
  </mc:AlternateContent>
  <bookViews>
    <workbookView xWindow="0" yWindow="0" windowWidth="14160" windowHeight="11925"/>
  </bookViews>
  <sheets>
    <sheet name="sheet" sheetId="3" r:id="rId1"/>
  </sheets>
  <externalReferences>
    <externalReference r:id="rId2"/>
  </externalReferences>
  <definedNames>
    <definedName name="solver_adj" localSheetId="0" hidden="1">sheet!$C$8:$F$8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sheet!$C$10</definedName>
    <definedName name="solver_lhs10" localSheetId="0" hidden="1">sheet!$F$8</definedName>
    <definedName name="solver_lhs2" localSheetId="0" hidden="1">sheet!$C$7</definedName>
    <definedName name="solver_lhs3" localSheetId="0" hidden="1">sheet!$C$8</definedName>
    <definedName name="solver_lhs4" localSheetId="0" hidden="1">sheet!$C$8:$F$8</definedName>
    <definedName name="solver_lhs5" localSheetId="0" hidden="1">sheet!$D$10</definedName>
    <definedName name="solver_lhs6" localSheetId="0" hidden="1">sheet!$D$8</definedName>
    <definedName name="solver_lhs7" localSheetId="0" hidden="1">sheet!$E$10</definedName>
    <definedName name="solver_lhs8" localSheetId="0" hidden="1">sheet!$E$8</definedName>
    <definedName name="solver_lhs9" localSheetId="0" hidden="1">sheet!$F$10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10</definedName>
    <definedName name="solver_nwt" localSheetId="0" hidden="1">1</definedName>
    <definedName name="solver_opt" localSheetId="0" hidden="1">sheet!$C$19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10" localSheetId="0" hidden="1">3</definedName>
    <definedName name="solver_rel2" localSheetId="0" hidden="1">1</definedName>
    <definedName name="solver_rel3" localSheetId="0" hidden="1">3</definedName>
    <definedName name="solver_rel4" localSheetId="0" hidden="1">4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0.9999</definedName>
    <definedName name="solver_rhs10" localSheetId="0" hidden="1">9.19</definedName>
    <definedName name="solver_rhs2" localSheetId="0" hidden="1">120</definedName>
    <definedName name="solver_rhs3" localSheetId="0" hidden="1">9.19</definedName>
    <definedName name="solver_rhs4" localSheetId="0" hidden="1">整数</definedName>
    <definedName name="solver_rhs5" localSheetId="0" hidden="1">0.9999</definedName>
    <definedName name="solver_rhs6" localSheetId="0" hidden="1">9.19</definedName>
    <definedName name="solver_rhs7" localSheetId="0" hidden="1">0.9999</definedName>
    <definedName name="solver_rhs8" localSheetId="0" hidden="1">9.19</definedName>
    <definedName name="solver_rhs9" localSheetId="0" hidden="1">0.9999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C7" i="3" l="1"/>
  <c r="C9" i="3" s="1"/>
  <c r="C10" i="3" s="1"/>
  <c r="D15" i="3" s="1"/>
  <c r="E6" i="3"/>
  <c r="F5" i="3"/>
  <c r="F6" i="3"/>
  <c r="E5" i="3"/>
  <c r="J5" i="3"/>
  <c r="O5" i="3"/>
  <c r="J4" i="3"/>
  <c r="J6" i="3" s="1"/>
  <c r="D5" i="3"/>
  <c r="I5" i="3"/>
  <c r="D6" i="3"/>
  <c r="I4" i="3"/>
  <c r="I6" i="3" s="1"/>
  <c r="C5" i="3"/>
  <c r="H5" i="3"/>
  <c r="M5" i="3"/>
  <c r="H4" i="3"/>
  <c r="H6" i="3" s="1"/>
  <c r="P4" i="3"/>
  <c r="P6" i="3" s="1"/>
  <c r="K4" i="3"/>
  <c r="K6" i="3" s="1"/>
  <c r="N5" i="3"/>
  <c r="C6" i="3"/>
  <c r="K5" i="3"/>
  <c r="P5" i="3"/>
  <c r="N4" i="3" l="1"/>
  <c r="N6" i="3" s="1"/>
  <c r="M4" i="3"/>
  <c r="M6" i="3" s="1"/>
  <c r="O4" i="3"/>
  <c r="O6" i="3" s="1"/>
  <c r="H7" i="3"/>
  <c r="H8" i="3" s="1"/>
  <c r="H9" i="3" s="1"/>
  <c r="C15" i="3"/>
  <c r="F15" i="3" s="1"/>
  <c r="D7" i="3"/>
  <c r="M7" i="3" l="1"/>
  <c r="N7" i="3" s="1"/>
  <c r="O7" i="3" s="1"/>
  <c r="F7" i="3"/>
  <c r="E7" i="3"/>
  <c r="D9" i="3"/>
  <c r="D10" i="3" s="1"/>
  <c r="D16" i="3" s="1"/>
  <c r="I7" i="3"/>
  <c r="I8" i="3" s="1"/>
  <c r="I9" i="3" s="1"/>
  <c r="I10" i="3" s="1"/>
  <c r="I16" i="3" s="1"/>
  <c r="H15" i="3"/>
  <c r="H10" i="3"/>
  <c r="I15" i="3" s="1"/>
  <c r="N8" i="3" l="1"/>
  <c r="N9" i="3" s="1"/>
  <c r="N10" i="3" s="1"/>
  <c r="N16" i="3" s="1"/>
  <c r="M8" i="3"/>
  <c r="M9" i="3" s="1"/>
  <c r="P7" i="3"/>
  <c r="P8" i="3" s="1"/>
  <c r="P9" i="3" s="1"/>
  <c r="P10" i="3" s="1"/>
  <c r="N18" i="3" s="1"/>
  <c r="H16" i="3"/>
  <c r="K16" i="3" s="1"/>
  <c r="E9" i="3"/>
  <c r="E10" i="3" s="1"/>
  <c r="D17" i="3" s="1"/>
  <c r="J7" i="3"/>
  <c r="C16" i="3"/>
  <c r="F16" i="3" s="1"/>
  <c r="F9" i="3"/>
  <c r="F10" i="3" s="1"/>
  <c r="D18" i="3" s="1"/>
  <c r="K7" i="3"/>
  <c r="M15" i="3"/>
  <c r="M10" i="3"/>
  <c r="N15" i="3" s="1"/>
  <c r="M18" i="3"/>
  <c r="P18" i="3" s="1"/>
  <c r="K15" i="3"/>
  <c r="M16" i="3"/>
  <c r="P16" i="3" s="1"/>
  <c r="O8" i="3"/>
  <c r="O9" i="3" s="1"/>
  <c r="O10" i="3" s="1"/>
  <c r="N17" i="3" s="1"/>
  <c r="C17" i="3" l="1"/>
  <c r="F17" i="3" s="1"/>
  <c r="C18" i="3"/>
  <c r="F18" i="3" s="1"/>
  <c r="J8" i="3"/>
  <c r="J9" i="3" s="1"/>
  <c r="J10" i="3" s="1"/>
  <c r="I17" i="3" s="1"/>
  <c r="K8" i="3"/>
  <c r="K9" i="3" s="1"/>
  <c r="K10" i="3" s="1"/>
  <c r="I18" i="3" s="1"/>
  <c r="P15" i="3"/>
  <c r="M17" i="3"/>
  <c r="P17" i="3" s="1"/>
  <c r="H17" i="3" l="1"/>
  <c r="K17" i="3" s="1"/>
  <c r="C19" i="3"/>
  <c r="F19" i="3" s="1"/>
  <c r="H18" i="3"/>
  <c r="K18" i="3" s="1"/>
  <c r="M19" i="3"/>
  <c r="N19" i="3" l="1"/>
  <c r="H19" i="3"/>
  <c r="I19" i="3" s="1"/>
  <c r="P19" i="3"/>
  <c r="K19" i="3" l="1"/>
</calcChain>
</file>

<file path=xl/sharedStrings.xml><?xml version="1.0" encoding="utf-8"?>
<sst xmlns="http://schemas.openxmlformats.org/spreadsheetml/2006/main" count="28" uniqueCount="20">
  <si>
    <t>v/s</t>
  </si>
  <si>
    <t>C</t>
  </si>
  <si>
    <t>g</t>
  </si>
  <si>
    <t>theta</t>
  </si>
  <si>
    <t>1st term</t>
  </si>
  <si>
    <t>2nd term</t>
  </si>
  <si>
    <t>APPROACH</t>
  </si>
  <si>
    <t>Saturation flow</t>
  </si>
  <si>
    <t>Critical approach</t>
  </si>
  <si>
    <t>volume</t>
  </si>
  <si>
    <t>v/c</t>
  </si>
  <si>
    <t>Total</t>
  </si>
  <si>
    <t>Total delay</t>
  </si>
  <si>
    <t>Webster split</t>
  </si>
  <si>
    <t>Webster cycle + split</t>
  </si>
  <si>
    <t>The third box uses the Webster optimal cycle time and uses the flow ratio to calculate the split</t>
  </si>
  <si>
    <t>The first box solves for the optimal cycle and green times</t>
  </si>
  <si>
    <t>The second box uses the optimal cycle time from the first box but the flow ratio to calculate the split</t>
  </si>
  <si>
    <t>Change the flow values in the green cells and compare the performance.</t>
  </si>
  <si>
    <t>Ave dalay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</si>
</sst>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7"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18"/>
      <name val="Arial"/>
      <family val="2"/>
    </font>
    <font>
      <sz val="9"/>
      <name val="宋体"/>
      <charset val="134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2" borderId="0" xfId="0" applyFill="1" applyBorder="1"/>
    <xf numFmtId="0" fontId="0" fillId="0" borderId="0" xfId="0" applyFill="1" applyBorder="1"/>
    <xf numFmtId="0" fontId="2" fillId="0" borderId="4" xfId="0" applyFont="1" applyBorder="1"/>
    <xf numFmtId="0" fontId="3" fillId="0" borderId="4" xfId="0" applyFont="1" applyBorder="1"/>
    <xf numFmtId="0" fontId="0" fillId="0" borderId="4" xfId="0" applyBorder="1" applyAlignment="1">
      <alignment horizontal="center"/>
    </xf>
    <xf numFmtId="0" fontId="4" fillId="3" borderId="4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1" xfId="0" applyFill="1" applyBorder="1"/>
    <xf numFmtId="0" fontId="0" fillId="3" borderId="2" xfId="0" applyFill="1" applyBorder="1"/>
    <xf numFmtId="2" fontId="0" fillId="0" borderId="0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" fontId="4" fillId="3" borderId="0" xfId="0" applyNumberFormat="1" applyFont="1" applyFill="1" applyBorder="1"/>
    <xf numFmtId="164" fontId="0" fillId="0" borderId="4" xfId="0" applyNumberFormat="1" applyBorder="1"/>
    <xf numFmtId="2" fontId="0" fillId="0" borderId="4" xfId="0" applyNumberFormat="1" applyBorder="1"/>
    <xf numFmtId="1" fontId="4" fillId="3" borderId="4" xfId="0" applyNumberFormat="1" applyFont="1" applyFill="1" applyBorder="1"/>
    <xf numFmtId="164" fontId="3" fillId="0" borderId="0" xfId="0" applyNumberFormat="1" applyFont="1" applyBorder="1"/>
    <xf numFmtId="164" fontId="2" fillId="0" borderId="0" xfId="0" applyNumberFormat="1" applyFont="1" applyBorder="1"/>
    <xf numFmtId="164" fontId="2" fillId="0" borderId="4" xfId="0" applyNumberFormat="1" applyFont="1" applyBorder="1"/>
    <xf numFmtId="164" fontId="3" fillId="0" borderId="4" xfId="0" applyNumberFormat="1" applyFont="1" applyBorder="1"/>
    <xf numFmtId="2" fontId="0" fillId="0" borderId="5" xfId="0" applyNumberFormat="1" applyBorder="1"/>
    <xf numFmtId="164" fontId="3" fillId="0" borderId="5" xfId="0" applyNumberFormat="1" applyFont="1" applyBorder="1"/>
    <xf numFmtId="0" fontId="0" fillId="2" borderId="5" xfId="0" applyFill="1" applyBorder="1"/>
    <xf numFmtId="164" fontId="0" fillId="0" borderId="7" xfId="0" applyNumberFormat="1" applyBorder="1"/>
    <xf numFmtId="1" fontId="0" fillId="0" borderId="0" xfId="0" applyNumberFormat="1" applyFill="1" applyBorder="1"/>
    <xf numFmtId="1" fontId="0" fillId="0" borderId="5" xfId="0" applyNumberFormat="1" applyFill="1" applyBorder="1"/>
    <xf numFmtId="1" fontId="0" fillId="0" borderId="4" xfId="0" applyNumberFormat="1" applyBorder="1"/>
    <xf numFmtId="1" fontId="0" fillId="0" borderId="0" xfId="0" applyNumberFormat="1" applyBorder="1"/>
    <xf numFmtId="1" fontId="0" fillId="0" borderId="5" xfId="0" applyNumberFormat="1" applyBorder="1"/>
    <xf numFmtId="1" fontId="0" fillId="0" borderId="0" xfId="0" applyNumberFormat="1"/>
    <xf numFmtId="165" fontId="1" fillId="4" borderId="0" xfId="1" applyNumberFormat="1" applyFont="1" applyFill="1" applyBorder="1"/>
    <xf numFmtId="0" fontId="0" fillId="5" borderId="0" xfId="0" applyFill="1" applyBorder="1"/>
    <xf numFmtId="164" fontId="0" fillId="5" borderId="5" xfId="0" applyNumberFormat="1" applyFill="1" applyBorder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</xdr:row>
          <xdr:rowOff>0</xdr:rowOff>
        </xdr:from>
        <xdr:to>
          <xdr:col>18</xdr:col>
          <xdr:colOff>276225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Worksheet___3.macro1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oyce\Downloads\traffic%20light_car_201905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PDM"/>
      <sheetName val="sum"/>
      <sheetName val="royce"/>
      <sheetName val="erin"/>
      <sheetName val="zen"/>
    </sheetNames>
    <sheetDataSet>
      <sheetData sheetId="0">
        <row r="5">
          <cell r="G5">
            <v>169</v>
          </cell>
          <cell r="K5">
            <v>2090</v>
          </cell>
        </row>
        <row r="9">
          <cell r="K9">
            <v>1817.3913043478262</v>
          </cell>
        </row>
        <row r="12">
          <cell r="K12">
            <v>1817.3913043478262</v>
          </cell>
        </row>
        <row r="13">
          <cell r="K13">
            <v>1695.6521739130435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3"/>
  <dimension ref="B1:P26"/>
  <sheetViews>
    <sheetView tabSelected="1" workbookViewId="0">
      <selection activeCell="R8" sqref="R8"/>
    </sheetView>
  </sheetViews>
  <sheetFormatPr defaultRowHeight="12.75"/>
  <cols>
    <col min="1" max="1" width="4.7109375" customWidth="1"/>
    <col min="2" max="2" width="14.28515625" customWidth="1"/>
    <col min="7" max="7" width="3" customWidth="1"/>
    <col min="9" max="9" width="9.7109375" bestFit="1" customWidth="1"/>
    <col min="10" max="10" width="9.7109375" customWidth="1"/>
    <col min="12" max="12" width="2.85546875" customWidth="1"/>
  </cols>
  <sheetData>
    <row r="1" spans="2:16" ht="13.5" thickBot="1"/>
    <row r="2" spans="2:16">
      <c r="B2" s="1"/>
      <c r="C2" s="2"/>
      <c r="D2" s="2"/>
      <c r="E2" s="2"/>
      <c r="F2" s="3"/>
      <c r="H2" s="16" t="s">
        <v>13</v>
      </c>
      <c r="I2" s="17"/>
      <c r="J2" s="17"/>
      <c r="K2" s="17"/>
      <c r="M2" s="16" t="s">
        <v>14</v>
      </c>
      <c r="N2" s="17"/>
      <c r="O2" s="17"/>
      <c r="P2" s="17"/>
    </row>
    <row r="3" spans="2:16">
      <c r="B3" s="4" t="s">
        <v>8</v>
      </c>
      <c r="C3" s="5">
        <v>1</v>
      </c>
      <c r="D3" s="5">
        <v>2</v>
      </c>
      <c r="E3" s="5">
        <v>3</v>
      </c>
      <c r="F3" s="5">
        <v>4</v>
      </c>
      <c r="H3" s="4">
        <v>1</v>
      </c>
      <c r="I3" s="5">
        <v>2</v>
      </c>
      <c r="J3" s="5">
        <v>3</v>
      </c>
      <c r="K3" s="5">
        <v>4</v>
      </c>
      <c r="M3" s="4">
        <v>1</v>
      </c>
      <c r="N3" s="5">
        <v>2</v>
      </c>
      <c r="O3" s="8">
        <v>3</v>
      </c>
      <c r="P3" s="6">
        <v>4</v>
      </c>
    </row>
    <row r="4" spans="2:16">
      <c r="B4" s="4" t="s">
        <v>9</v>
      </c>
      <c r="C4" s="7">
        <v>169</v>
      </c>
      <c r="D4" s="7">
        <v>369</v>
      </c>
      <c r="E4" s="7">
        <v>225</v>
      </c>
      <c r="F4" s="31">
        <v>295</v>
      </c>
      <c r="H4" s="35">
        <f t="shared" ref="H4:K5" si="0">C4</f>
        <v>169</v>
      </c>
      <c r="I4" s="36">
        <f t="shared" si="0"/>
        <v>369</v>
      </c>
      <c r="J4" s="36">
        <f t="shared" si="0"/>
        <v>225</v>
      </c>
      <c r="K4" s="37">
        <f t="shared" si="0"/>
        <v>295</v>
      </c>
      <c r="L4" s="38"/>
      <c r="M4" s="35">
        <f t="shared" ref="M4:O5" si="1">H4</f>
        <v>169</v>
      </c>
      <c r="N4" s="36">
        <f t="shared" si="1"/>
        <v>369</v>
      </c>
      <c r="O4" s="36">
        <f t="shared" si="1"/>
        <v>225</v>
      </c>
      <c r="P4" s="37">
        <f>F4</f>
        <v>295</v>
      </c>
    </row>
    <row r="5" spans="2:16">
      <c r="B5" s="4" t="s">
        <v>7</v>
      </c>
      <c r="C5" s="8">
        <f>[1]TPDM!$K$5</f>
        <v>2090</v>
      </c>
      <c r="D5" s="33">
        <f>[1]TPDM!$K$9</f>
        <v>1817.3913043478262</v>
      </c>
      <c r="E5" s="33">
        <f>[1]TPDM!$K$12</f>
        <v>1817.3913043478262</v>
      </c>
      <c r="F5" s="34">
        <f>[1]TPDM!$K$13</f>
        <v>1695.6521739130435</v>
      </c>
      <c r="H5" s="35">
        <f t="shared" si="0"/>
        <v>2090</v>
      </c>
      <c r="I5" s="36">
        <f t="shared" si="0"/>
        <v>1817.3913043478262</v>
      </c>
      <c r="J5" s="36">
        <f t="shared" si="0"/>
        <v>1817.3913043478262</v>
      </c>
      <c r="K5" s="37">
        <f t="shared" si="0"/>
        <v>1695.6521739130435</v>
      </c>
      <c r="L5" s="38"/>
      <c r="M5" s="35">
        <f t="shared" si="1"/>
        <v>2090</v>
      </c>
      <c r="N5" s="36">
        <f t="shared" si="1"/>
        <v>1817.3913043478262</v>
      </c>
      <c r="O5" s="36">
        <f t="shared" si="1"/>
        <v>1817.3913043478262</v>
      </c>
      <c r="P5" s="37">
        <f>K5</f>
        <v>1695.6521739130435</v>
      </c>
    </row>
    <row r="6" spans="2:16">
      <c r="B6" s="4" t="s">
        <v>0</v>
      </c>
      <c r="C6" s="19">
        <f>C4/C5</f>
        <v>8.0861244019138759E-2</v>
      </c>
      <c r="D6" s="19">
        <f>D4/D5</f>
        <v>0.20303827751196171</v>
      </c>
      <c r="E6" s="19">
        <f>E4/E5</f>
        <v>0.12380382775119617</v>
      </c>
      <c r="F6" s="19">
        <f>F4/F5</f>
        <v>0.17397435897435898</v>
      </c>
      <c r="H6" s="22">
        <f>H4/H5</f>
        <v>8.0861244019138759E-2</v>
      </c>
      <c r="I6" s="19">
        <f>I4/I5</f>
        <v>0.20303827751196171</v>
      </c>
      <c r="J6" s="19">
        <f>J4/J5</f>
        <v>0.12380382775119617</v>
      </c>
      <c r="K6" s="20">
        <f>K4/K5</f>
        <v>0.17397435897435898</v>
      </c>
      <c r="M6" s="23">
        <f>M4/M5</f>
        <v>8.0861244019138759E-2</v>
      </c>
      <c r="N6" s="18">
        <f>N4/N5</f>
        <v>0.20303827751196171</v>
      </c>
      <c r="O6" s="18">
        <f>O4/O5</f>
        <v>0.12380382775119617</v>
      </c>
      <c r="P6" s="29">
        <f>P4/P5</f>
        <v>0.17397435897435898</v>
      </c>
    </row>
    <row r="7" spans="2:16">
      <c r="B7" s="9" t="s">
        <v>1</v>
      </c>
      <c r="C7" s="26">
        <f>C8+D8+E8+F8+16</f>
        <v>78</v>
      </c>
      <c r="D7" s="19">
        <f>C7</f>
        <v>78</v>
      </c>
      <c r="E7" s="19">
        <f>D7</f>
        <v>78</v>
      </c>
      <c r="F7" s="20">
        <f>D7</f>
        <v>78</v>
      </c>
      <c r="H7" s="27">
        <f>C7</f>
        <v>78</v>
      </c>
      <c r="I7" s="19">
        <f>D7</f>
        <v>78</v>
      </c>
      <c r="J7" s="19">
        <f>E7</f>
        <v>78</v>
      </c>
      <c r="K7" s="20">
        <f>F7</f>
        <v>78</v>
      </c>
      <c r="M7" s="27">
        <f>(1.5*12+5)/(1-M6-N6-P6)</f>
        <v>42.425552233942156</v>
      </c>
      <c r="N7" s="19">
        <f>M7</f>
        <v>42.425552233942156</v>
      </c>
      <c r="O7" s="19">
        <f>N7</f>
        <v>42.425552233942156</v>
      </c>
      <c r="P7" s="20">
        <f>M7</f>
        <v>42.425552233942156</v>
      </c>
    </row>
    <row r="8" spans="2:16">
      <c r="B8" s="10" t="s">
        <v>2</v>
      </c>
      <c r="C8" s="25">
        <v>10</v>
      </c>
      <c r="D8" s="25">
        <v>21</v>
      </c>
      <c r="E8" s="25">
        <v>14</v>
      </c>
      <c r="F8" s="25">
        <v>17</v>
      </c>
      <c r="H8" s="28">
        <f>(H7-16)*H6/(H6+I6+J6+K6)</f>
        <v>8.6188572434935473</v>
      </c>
      <c r="I8" s="25">
        <f>(I7-16)*I6/(I6+H6+J6+K6)</f>
        <v>21.641491546014713</v>
      </c>
      <c r="J8" s="25">
        <f>((J7-16)*J6/(J6+I6+K6+H6))</f>
        <v>13.196031430496779</v>
      </c>
      <c r="K8" s="25">
        <f>((K7-16)*K6/(K6+J6+H6+I6))</f>
        <v>18.543619779994962</v>
      </c>
      <c r="M8" s="28">
        <f>((M7-16)*M6/(M6+N6+O6+P6))</f>
        <v>3.6735171336262811</v>
      </c>
      <c r="N8" s="25">
        <f>(N7-16)*N6/(N6+M6+O6+P6)</f>
        <v>9.2240058914456355</v>
      </c>
      <c r="O8" s="25">
        <f>(O7-16)*N6/(N6+M6+O6+P6)</f>
        <v>9.2240058914456355</v>
      </c>
      <c r="P8" s="30">
        <f>(P7-16)*P6/(M6+P6+O6+N6)</f>
        <v>7.9036353726229009</v>
      </c>
    </row>
    <row r="9" spans="2:16">
      <c r="B9" s="4" t="s">
        <v>3</v>
      </c>
      <c r="C9" s="18">
        <f>C8/C7</f>
        <v>0.12820512820512819</v>
      </c>
      <c r="D9" s="18">
        <f>D8/D7</f>
        <v>0.26923076923076922</v>
      </c>
      <c r="E9" s="18">
        <f>E8/E7</f>
        <v>0.17948717948717949</v>
      </c>
      <c r="F9" s="29">
        <f>F8/F7</f>
        <v>0.21794871794871795</v>
      </c>
      <c r="H9" s="23">
        <f>H8/H7</f>
        <v>0.11049816978837881</v>
      </c>
      <c r="I9" s="18">
        <f>I8/I7</f>
        <v>0.27745501982070142</v>
      </c>
      <c r="J9" s="18">
        <f>J8/J7</f>
        <v>0.1691798901345741</v>
      </c>
      <c r="K9" s="29">
        <f>K8/K7</f>
        <v>0.23773871512814054</v>
      </c>
      <c r="M9" s="23">
        <f>M8/M7</f>
        <v>8.6587373415196678E-2</v>
      </c>
      <c r="N9" s="18">
        <f>N8/N7</f>
        <v>0.21741628348366102</v>
      </c>
      <c r="O9" s="18">
        <f>O8/O7</f>
        <v>0.21741628348366102</v>
      </c>
      <c r="P9" s="29">
        <f>P8/P7</f>
        <v>0.18629422497651482</v>
      </c>
    </row>
    <row r="10" spans="2:16">
      <c r="B10" s="4" t="s">
        <v>10</v>
      </c>
      <c r="C10" s="18">
        <f>C4/(C9*C5)</f>
        <v>0.63071770334928245</v>
      </c>
      <c r="D10" s="18">
        <f>D4/(D9*D5)</f>
        <v>0.75414217361585778</v>
      </c>
      <c r="E10" s="18">
        <f>E4/(E9*E5)</f>
        <v>0.6897641831852358</v>
      </c>
      <c r="F10" s="29">
        <f>F4/(F9*F5)</f>
        <v>0.79823529411764704</v>
      </c>
      <c r="H10" s="23">
        <f>H4/(H9*H5)</f>
        <v>0.73178808458095379</v>
      </c>
      <c r="I10" s="18">
        <f>I4/(I9*I5)</f>
        <v>0.7317880845809539</v>
      </c>
      <c r="J10" s="18">
        <f>J4/(J9*J5)</f>
        <v>0.73178808458095368</v>
      </c>
      <c r="K10" s="29">
        <f>K4/(K9*K5)</f>
        <v>0.73178808458095368</v>
      </c>
      <c r="M10" s="23">
        <f>M4/(M9*M5)</f>
        <v>0.9338687712745315</v>
      </c>
      <c r="N10" s="18">
        <f>N4/(N9*N5)</f>
        <v>0.93386877127453138</v>
      </c>
      <c r="O10" s="18">
        <f>O4/(O9*O5)</f>
        <v>0.56943217760642162</v>
      </c>
      <c r="P10" s="29">
        <f>P4/(P9*P5)</f>
        <v>0.93386877127453127</v>
      </c>
    </row>
    <row r="11" spans="2:16">
      <c r="B11" s="4"/>
      <c r="C11" s="5"/>
      <c r="D11" s="5"/>
      <c r="E11" s="5"/>
      <c r="F11" s="6"/>
      <c r="H11" s="4"/>
      <c r="I11" s="5"/>
      <c r="J11" s="5"/>
      <c r="K11" s="6"/>
      <c r="M11" s="4"/>
      <c r="N11" s="5"/>
      <c r="O11" s="5"/>
      <c r="P11" s="6"/>
    </row>
    <row r="12" spans="2:16">
      <c r="B12" s="4"/>
      <c r="C12" s="5"/>
      <c r="D12" s="5"/>
      <c r="E12" s="5"/>
      <c r="F12" s="6"/>
      <c r="H12" s="4"/>
      <c r="I12" s="5"/>
      <c r="J12" s="5"/>
      <c r="K12" s="6"/>
      <c r="M12" s="4"/>
      <c r="N12" s="5"/>
      <c r="O12" s="5"/>
      <c r="P12" s="6"/>
    </row>
    <row r="13" spans="2:16">
      <c r="B13" s="4"/>
      <c r="C13" s="5"/>
      <c r="D13" s="5"/>
      <c r="E13" s="5"/>
      <c r="F13" s="6"/>
      <c r="H13" s="4"/>
      <c r="I13" s="5"/>
      <c r="J13" s="5"/>
      <c r="K13" s="6"/>
      <c r="M13" s="4"/>
      <c r="N13" s="5"/>
      <c r="O13" s="5"/>
      <c r="P13" s="6"/>
    </row>
    <row r="14" spans="2:16">
      <c r="B14" s="4" t="s">
        <v>6</v>
      </c>
      <c r="C14" s="5" t="s">
        <v>4</v>
      </c>
      <c r="D14" s="5" t="s">
        <v>5</v>
      </c>
      <c r="E14" s="5"/>
      <c r="F14" s="6" t="s">
        <v>11</v>
      </c>
      <c r="H14" s="4" t="s">
        <v>4</v>
      </c>
      <c r="I14" s="5" t="s">
        <v>5</v>
      </c>
      <c r="J14" s="5"/>
      <c r="K14" s="6" t="s">
        <v>11</v>
      </c>
      <c r="M14" s="4" t="s">
        <v>4</v>
      </c>
      <c r="N14" s="5" t="s">
        <v>5</v>
      </c>
      <c r="O14" s="5"/>
      <c r="P14" s="6" t="s">
        <v>11</v>
      </c>
    </row>
    <row r="15" spans="2:16">
      <c r="B15" s="11">
        <v>1</v>
      </c>
      <c r="C15" s="19">
        <f>(C7*(1-C9)^2)/(2*(1-C6))</f>
        <v>32.248695257544817</v>
      </c>
      <c r="D15" s="19">
        <f>C10^2/(2*C4*(1-C10)/3600)</f>
        <v>11.47353790492865</v>
      </c>
      <c r="E15" s="19"/>
      <c r="F15" s="20">
        <f>0.9*(C15+D15)</f>
        <v>39.350009846226122</v>
      </c>
      <c r="H15" s="22">
        <f>(H7*(1-H9)^2)/(2*(1-H6))</f>
        <v>33.572000452873574</v>
      </c>
      <c r="I15" s="19">
        <f>H10^2/(2*H4*(1-H10)/3600)</f>
        <v>21.265637199674806</v>
      </c>
      <c r="J15" s="19"/>
      <c r="K15" s="20">
        <f>0.9*(H15+I15)</f>
        <v>49.353873887293545</v>
      </c>
      <c r="M15" s="22">
        <f>(M7*(1-M9)^2)/(2*(1-M6))</f>
        <v>19.255307175417947</v>
      </c>
      <c r="N15" s="19">
        <f>M10^2/(2*M4*(1-M10)/3600)</f>
        <v>140.45943398945036</v>
      </c>
      <c r="O15" s="19"/>
      <c r="P15" s="20">
        <f>0.9*(M15+N15)</f>
        <v>143.74326704838148</v>
      </c>
    </row>
    <row r="16" spans="2:16">
      <c r="B16" s="11">
        <v>2</v>
      </c>
      <c r="C16" s="19">
        <f>(D7*(1-D9)^2)/(2*(1-D6))</f>
        <v>26.132902609053065</v>
      </c>
      <c r="D16" s="19">
        <f>D10^2/(2*D4*(1-D10)/3600)</f>
        <v>11.284142395953587</v>
      </c>
      <c r="E16" s="19"/>
      <c r="F16" s="20">
        <f>0.9*(C16+D16)</f>
        <v>33.675340504505989</v>
      </c>
      <c r="H16" s="22">
        <f>(I7*(1-I9)^2)/(2*(1-I6))</f>
        <v>25.548000753844754</v>
      </c>
      <c r="I16" s="19">
        <f>I10^2/(2*I4*(1-I10)/3600)</f>
        <v>9.7395465765448392</v>
      </c>
      <c r="J16" s="19"/>
      <c r="K16" s="20">
        <f>0.9*(H16+I16)</f>
        <v>31.758792597350634</v>
      </c>
      <c r="M16" s="22">
        <f>(N7*(1-N9)^2)/(2*(1-N6))</f>
        <v>16.301278215523311</v>
      </c>
      <c r="N16" s="19">
        <f>N10^2/(2*N4*(1-N10)/3600)</f>
        <v>64.32965946942295</v>
      </c>
      <c r="O16" s="19"/>
      <c r="P16" s="20">
        <f>0.9*(M16+N16)</f>
        <v>72.567843916451636</v>
      </c>
    </row>
    <row r="17" spans="2:16">
      <c r="B17" s="11">
        <v>3</v>
      </c>
      <c r="C17" s="19">
        <f>(E7*(1-E9)^2)/(2*(1-E6))</f>
        <v>29.966360374551495</v>
      </c>
      <c r="D17" s="19">
        <f>E10^2/(2*E4*(1-E10)/3600)</f>
        <v>12.268722117002277</v>
      </c>
      <c r="E17" s="19"/>
      <c r="F17" s="20">
        <f>0.9*(C17+D17)</f>
        <v>38.011574242398396</v>
      </c>
      <c r="H17" s="22">
        <f>(J7*(1-J9)^2)/(2*(1-J6))</f>
        <v>30.723964559469554</v>
      </c>
      <c r="I17" s="19">
        <f>J10^2/(2*J4*(1-J10)/3600)</f>
        <v>15.972856385533513</v>
      </c>
      <c r="J17" s="19"/>
      <c r="K17" s="20">
        <f>0.9*(H17+I17)</f>
        <v>42.027138850502766</v>
      </c>
      <c r="M17" s="22">
        <f>(O7*(1-O9)^2)/(2*(1-O6))</f>
        <v>14.827153070135919</v>
      </c>
      <c r="N17" s="19">
        <f>O10^2/(2*O4*(1-O10)/3600)</f>
        <v>6.0246583795515374</v>
      </c>
      <c r="O17" s="19"/>
      <c r="P17" s="20">
        <f>0.9*(M17+N17)</f>
        <v>18.76663030471871</v>
      </c>
    </row>
    <row r="18" spans="2:16">
      <c r="B18" s="11">
        <v>4</v>
      </c>
      <c r="C18" s="19">
        <f>(F7*(1-F9)^2)/(2*(1-F6))</f>
        <v>28.876299860313519</v>
      </c>
      <c r="D18" s="19">
        <f>F10^2/(2*F4*(1-F10)/3600)</f>
        <v>19.269353455667982</v>
      </c>
      <c r="E18" s="19"/>
      <c r="F18" s="20">
        <f>0.9*(C18+D18)</f>
        <v>43.331087984383359</v>
      </c>
      <c r="H18" s="22">
        <f>(K7*(1-K9)^2)/(2*(1-K6))</f>
        <v>27.43334742251907</v>
      </c>
      <c r="I18" s="19">
        <f>K10^2/(2*K4*(1-K10)/3600)</f>
        <v>12.182687073712001</v>
      </c>
      <c r="J18" s="19"/>
      <c r="K18" s="20">
        <f>0.9*(H18+I18)</f>
        <v>35.654431046607968</v>
      </c>
      <c r="M18" s="22">
        <f>(P7*(1-P9)^2)/(2*(1-P6))</f>
        <v>17.003517639026978</v>
      </c>
      <c r="N18" s="19">
        <f>P10^2/(2*P4*(1-P10)/3600)</f>
        <v>80.466590997345833</v>
      </c>
      <c r="O18" s="19"/>
      <c r="P18" s="20">
        <f>0.9*(M18+N18)</f>
        <v>87.723097772735528</v>
      </c>
    </row>
    <row r="19" spans="2:16">
      <c r="B19" s="12" t="s">
        <v>12</v>
      </c>
      <c r="C19" s="21">
        <f>F15*C4+F16*D4+F17*F4+E4*F18</f>
        <v>40039.261508168711</v>
      </c>
      <c r="D19" s="5"/>
      <c r="E19" s="40" t="s">
        <v>19</v>
      </c>
      <c r="F19" s="41">
        <f>C19/SUM(C4:F4)</f>
        <v>37.844292540802186</v>
      </c>
      <c r="H19" s="24">
        <f>K15*H4+K16*I4+K17*K4+J4*K18</f>
        <v>40480.052101760106</v>
      </c>
      <c r="I19" s="39">
        <f>(H19-C19)/C19</f>
        <v>1.1008959131313299E-2</v>
      </c>
      <c r="J19" s="40" t="s">
        <v>19</v>
      </c>
      <c r="K19" s="41">
        <f>H19/SUM(H4:K4)</f>
        <v>38.260918810737337</v>
      </c>
      <c r="M19" s="24">
        <f>P15*M4+P16*N4+P17*P4+O4*P18</f>
        <v>76343.999475104632</v>
      </c>
      <c r="N19" s="39">
        <f>(M19-C19)/C19</f>
        <v>0.90672846100143778</v>
      </c>
      <c r="O19" s="40" t="s">
        <v>19</v>
      </c>
      <c r="P19" s="41">
        <f>M19/SUM(M4:P4)</f>
        <v>72.158789674011942</v>
      </c>
    </row>
    <row r="20" spans="2:16" ht="13.5" thickBot="1">
      <c r="B20" s="13"/>
      <c r="C20" s="14"/>
      <c r="D20" s="32"/>
      <c r="E20" s="32"/>
      <c r="F20" s="15"/>
      <c r="H20" s="13"/>
      <c r="I20" s="14"/>
      <c r="J20" s="14"/>
      <c r="K20" s="15"/>
      <c r="M20" s="13"/>
      <c r="N20" s="14"/>
      <c r="O20" s="14"/>
      <c r="P20" s="15"/>
    </row>
    <row r="22" spans="2:16">
      <c r="B22" t="s">
        <v>16</v>
      </c>
    </row>
    <row r="23" spans="2:16">
      <c r="B23" t="s">
        <v>17</v>
      </c>
    </row>
    <row r="24" spans="2:16">
      <c r="B24" t="s">
        <v>15</v>
      </c>
    </row>
    <row r="26" spans="2:16">
      <c r="B26" t="s">
        <v>18</v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cro1">
                <anchor moveWithCells="1" sizeWithCells="1">
                  <from>
                    <xdr:col>17</xdr:col>
                    <xdr:colOff>9525</xdr:colOff>
                    <xdr:row>3</xdr:row>
                    <xdr:rowOff>0</xdr:rowOff>
                  </from>
                  <to>
                    <xdr:col>18</xdr:col>
                    <xdr:colOff>276225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Company>HKUST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CCST</dc:creator>
  <cp:lastModifiedBy>Kueng Pit Wing</cp:lastModifiedBy>
  <dcterms:created xsi:type="dcterms:W3CDTF">1997-12-09T10:11:21Z</dcterms:created>
  <dcterms:modified xsi:type="dcterms:W3CDTF">2019-05-07T08:06:52Z</dcterms:modified>
</cp:coreProperties>
</file>